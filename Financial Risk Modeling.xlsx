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sheetId="1" r:id="rId5"/>
    <sheet state="visible" name="Steps" sheetId="2" r:id="rId6"/>
  </sheets>
  <definedNames/>
  <calcPr/>
</workbook>
</file>

<file path=xl/sharedStrings.xml><?xml version="1.0" encoding="utf-8"?>
<sst xmlns="http://schemas.openxmlformats.org/spreadsheetml/2006/main" count="46" uniqueCount="42">
  <si>
    <t>Description</t>
  </si>
  <si>
    <t>Value</t>
  </si>
  <si>
    <r>
      <rPr>
        <rFont val="Calibri"/>
        <b/>
        <color theme="1"/>
        <sz val="11.0"/>
      </rPr>
      <t xml:space="preserve">Background: </t>
    </r>
    <r>
      <rPr>
        <rFont val="Calibri"/>
        <b val="0"/>
        <color theme="1"/>
        <sz val="11.0"/>
      </rPr>
      <t>After several DDoS attacks happened in the last month, the leadership team wanted to determine whether investing in Microsoft Azure DDoS Protection Network ($36,000 per year) is financially justified.</t>
    </r>
  </si>
  <si>
    <t>Threat Event Frequency (TEF)</t>
  </si>
  <si>
    <t>Susceptibility</t>
  </si>
  <si>
    <t>Primary Loss ($)</t>
  </si>
  <si>
    <t>Secondary Loss ($)</t>
  </si>
  <si>
    <t>Reduction in success rate (control)</t>
  </si>
  <si>
    <t>Control Cost ($)</t>
  </si>
  <si>
    <t>Loss Event Frequency (LEF)</t>
  </si>
  <si>
    <r>
      <rPr>
        <rFont val="Calibri"/>
        <b/>
        <color theme="1"/>
        <sz val="11.0"/>
      </rPr>
      <t>Note:</t>
    </r>
    <r>
      <rPr>
        <rFont val="Calibri"/>
        <color theme="1"/>
        <sz val="11.0"/>
      </rPr>
      <t xml:space="preserve"> Only the values in rows 2-7 should be edited.</t>
    </r>
  </si>
  <si>
    <t>Annualised Loss Exposure (ALE)</t>
  </si>
  <si>
    <t>New LEF after control</t>
  </si>
  <si>
    <t>New ALE after control</t>
  </si>
  <si>
    <t>Total Annual Cost with Control</t>
  </si>
  <si>
    <t>Savings</t>
  </si>
  <si>
    <t>Option</t>
  </si>
  <si>
    <t>Annual Loss</t>
  </si>
  <si>
    <t>Control Cost</t>
  </si>
  <si>
    <t>Total Cost</t>
  </si>
  <si>
    <t>Net Savings</t>
  </si>
  <si>
    <t xml:space="preserve">Without Control	</t>
  </si>
  <si>
    <t>–</t>
  </si>
  <si>
    <t xml:space="preserve">With Control	</t>
  </si>
  <si>
    <r>
      <rPr>
        <rFont val="Calibri"/>
        <b/>
        <color theme="1"/>
        <sz val="11.0"/>
      </rPr>
      <t xml:space="preserve">Conclusion: </t>
    </r>
    <r>
      <rPr>
        <rFont val="Calibri"/>
        <color theme="1"/>
        <sz val="11.0"/>
      </rPr>
      <t>Investing in Microsoft Azure DDos Protection Network saves about $209,000 annually, offering a significant positive return on security investment (ROSI).</t>
    </r>
  </si>
  <si>
    <t>Step</t>
  </si>
  <si>
    <t>FAIR Step</t>
  </si>
  <si>
    <t>Define the Risk Scenario</t>
  </si>
  <si>
    <t>The first step is to clearly describe the risk event being analyzed. This sets the scope. What asset could be affected, what threat might exploit it, and what form the loss could take.</t>
  </si>
  <si>
    <t>Identify Assets &amp; Threats</t>
  </si>
  <si>
    <r>
      <rPr>
        <rFont val="Calibri"/>
        <b/>
        <color theme="1"/>
        <sz val="11.0"/>
      </rPr>
      <t>Asset:</t>
    </r>
    <r>
      <rPr>
        <rFont val="Calibri"/>
        <color theme="1"/>
        <sz val="11.0"/>
      </rPr>
      <t xml:space="preserve"> The valuable resource being protected (e.g., client files, systems, or credentials). </t>
    </r>
    <r>
      <rPr>
        <rFont val="Calibri"/>
        <b/>
        <color theme="1"/>
        <sz val="11.0"/>
      </rPr>
      <t xml:space="preserve">Threat: </t>
    </r>
    <r>
      <rPr>
        <rFont val="Calibri"/>
        <color theme="1"/>
        <sz val="11.0"/>
      </rPr>
      <t>The event or actor that could cause harm (e.g., a cyber‑criminal sending phishing emails).</t>
    </r>
  </si>
  <si>
    <r>
      <rPr>
        <rFont val="Calibri"/>
        <color theme="1"/>
        <sz val="11.0"/>
      </rPr>
      <t xml:space="preserve">TEF represents how often a threat event occurs within a given timeframe. </t>
    </r>
    <r>
      <rPr>
        <rFont val="Calibri"/>
        <b/>
        <color theme="1"/>
        <sz val="11.0"/>
      </rPr>
      <t>Example:</t>
    </r>
    <r>
      <rPr>
        <rFont val="Calibri"/>
        <color theme="1"/>
        <sz val="11.0"/>
      </rPr>
      <t xml:space="preserve"> 25 phishing attempts per year.</t>
    </r>
  </si>
  <si>
    <t>Susceptibility (Probability of Success)</t>
  </si>
  <si>
    <r>
      <rPr>
        <rFont val="Calibri"/>
        <color theme="1"/>
        <sz val="11.0"/>
      </rPr>
      <t xml:space="preserve">Susceptibility is the chance that a threat event actually results in a loss. </t>
    </r>
    <r>
      <rPr>
        <rFont val="Calibri"/>
        <b/>
        <color theme="1"/>
        <sz val="11.0"/>
      </rPr>
      <t>Example:</t>
    </r>
    <r>
      <rPr>
        <rFont val="Calibri"/>
        <color theme="1"/>
        <sz val="11.0"/>
      </rPr>
      <t xml:space="preserve"> 20% of phishing emails are successful.</t>
    </r>
  </si>
  <si>
    <t>LEF represents how often a loss is expected to occur per year. (LEF = TEF × Susceptibility)</t>
  </si>
  <si>
    <t>Primary Loss (Direct Costs)</t>
  </si>
  <si>
    <t>Primary Loss: Direct response and recovery costs.</t>
  </si>
  <si>
    <t>Secondary Loss (Indirect Costs)</t>
  </si>
  <si>
    <t>Secondary Loss: Legal fees, reputational loss, client compensation, etc.</t>
  </si>
  <si>
    <t>Calculate Total Loss per Event</t>
  </si>
  <si>
    <t>Total Loss per Event = Primary Loss + Secondary Loss</t>
  </si>
  <si>
    <t>ALE is the total expected annual financial loss from that risk scenario. (ALE = Total Loss × LEF)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</si>
</sst>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164" xfId="0" applyAlignment="1" applyFont="1" applyNumberFormat="1">
      <alignment horizontal="center" readingOrder="0"/>
    </xf>
    <xf borderId="0" fillId="0" fontId="2" numFmtId="0" xfId="0" applyAlignment="1" applyFont="1">
      <alignment horizontal="left" readingOrder="0"/>
    </xf>
    <xf borderId="0" fillId="0" fontId="1" numFmtId="9" xfId="0" applyAlignment="1" applyFont="1" applyNumberFormat="1">
      <alignment horizontal="center"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2" numFmtId="16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5" width="12.63"/>
    <col customWidth="1" min="6" max="6" width="187.63"/>
  </cols>
  <sheetData>
    <row r="1">
      <c r="A1" s="1" t="s">
        <v>0</v>
      </c>
      <c r="B1" s="1" t="s">
        <v>1</v>
      </c>
      <c r="C1" s="1"/>
      <c r="D1" s="1"/>
      <c r="E1" s="1"/>
      <c r="F1" s="2" t="s">
        <v>2</v>
      </c>
    </row>
    <row r="2">
      <c r="A2" s="1" t="s">
        <v>3</v>
      </c>
      <c r="B2" s="1">
        <v>30.0</v>
      </c>
      <c r="C2" s="1"/>
      <c r="D2" s="1"/>
      <c r="E2" s="1"/>
      <c r="F2" s="2"/>
    </row>
    <row r="3">
      <c r="A3" s="1" t="s">
        <v>4</v>
      </c>
      <c r="B3" s="1">
        <v>0.2</v>
      </c>
      <c r="C3" s="1"/>
      <c r="D3" s="1"/>
      <c r="E3" s="1"/>
      <c r="F3" s="2"/>
    </row>
    <row r="4">
      <c r="A4" s="1" t="s">
        <v>5</v>
      </c>
      <c r="B4" s="3">
        <v>30000.0</v>
      </c>
      <c r="C4" s="3"/>
      <c r="D4" s="3"/>
      <c r="E4" s="3"/>
      <c r="F4" s="2"/>
    </row>
    <row r="5">
      <c r="A5" s="1" t="s">
        <v>6</v>
      </c>
      <c r="B5" s="3">
        <v>15000.0</v>
      </c>
      <c r="C5" s="3"/>
      <c r="D5" s="3"/>
      <c r="E5" s="3"/>
      <c r="F5" s="4"/>
    </row>
    <row r="6">
      <c r="A6" s="1" t="s">
        <v>7</v>
      </c>
      <c r="B6" s="5">
        <v>0.907</v>
      </c>
      <c r="C6" s="5"/>
      <c r="D6" s="5"/>
      <c r="E6" s="5"/>
      <c r="F6" s="4"/>
    </row>
    <row r="7">
      <c r="A7" s="1" t="s">
        <v>8</v>
      </c>
      <c r="B7" s="3">
        <v>36000.0</v>
      </c>
      <c r="C7" s="3"/>
      <c r="D7" s="3"/>
      <c r="E7" s="3"/>
      <c r="F7" s="4"/>
    </row>
    <row r="8">
      <c r="A8" s="1" t="s">
        <v>9</v>
      </c>
      <c r="B8" s="6">
        <f>B2*B3</f>
        <v>6</v>
      </c>
      <c r="C8" s="6"/>
      <c r="D8" s="6"/>
      <c r="E8" s="6"/>
      <c r="F8" s="4" t="s">
        <v>10</v>
      </c>
    </row>
    <row r="9">
      <c r="A9" s="1" t="s">
        <v>11</v>
      </c>
      <c r="B9" s="7">
        <f>(B4+B5)*B8</f>
        <v>270000</v>
      </c>
      <c r="C9" s="7"/>
      <c r="D9" s="7"/>
      <c r="E9" s="7"/>
      <c r="F9" s="4"/>
    </row>
    <row r="10">
      <c r="A10" s="1" t="s">
        <v>12</v>
      </c>
      <c r="B10" s="6">
        <f>B8*(1-B6)</f>
        <v>0.558</v>
      </c>
      <c r="C10" s="6"/>
      <c r="D10" s="6"/>
      <c r="E10" s="6"/>
      <c r="F10" s="4"/>
    </row>
    <row r="11">
      <c r="A11" s="1" t="s">
        <v>13</v>
      </c>
      <c r="B11" s="7">
        <f>B9*(1-B6)</f>
        <v>25110</v>
      </c>
      <c r="C11" s="7"/>
      <c r="D11" s="7"/>
      <c r="E11" s="7"/>
      <c r="F11" s="4"/>
    </row>
    <row r="12">
      <c r="A12" s="1" t="s">
        <v>14</v>
      </c>
      <c r="B12" s="7">
        <f>B11+B7</f>
        <v>61110</v>
      </c>
      <c r="C12" s="7"/>
      <c r="D12" s="7"/>
      <c r="E12" s="7"/>
      <c r="F12" s="4"/>
    </row>
    <row r="13">
      <c r="A13" s="1" t="s">
        <v>15</v>
      </c>
      <c r="B13" s="7">
        <f>B9-B12</f>
        <v>208890</v>
      </c>
      <c r="C13" s="7"/>
      <c r="D13" s="7"/>
      <c r="E13" s="7"/>
      <c r="F13" s="4"/>
    </row>
    <row r="14">
      <c r="A14" s="6"/>
      <c r="B14" s="6"/>
      <c r="C14" s="6"/>
      <c r="D14" s="6"/>
      <c r="E14" s="6"/>
      <c r="F14" s="4"/>
    </row>
    <row r="15">
      <c r="A15" s="6"/>
      <c r="B15" s="6"/>
      <c r="C15" s="6"/>
      <c r="D15" s="6"/>
      <c r="E15" s="6"/>
      <c r="F15" s="4"/>
    </row>
    <row r="16">
      <c r="A16" s="1" t="s">
        <v>16</v>
      </c>
      <c r="B16" s="1" t="s">
        <v>17</v>
      </c>
      <c r="C16" s="1" t="s">
        <v>18</v>
      </c>
      <c r="D16" s="1" t="s">
        <v>19</v>
      </c>
      <c r="E16" s="1" t="s">
        <v>20</v>
      </c>
      <c r="F16" s="4"/>
    </row>
    <row r="17" ht="18.75" customHeight="1">
      <c r="A17" s="1" t="s">
        <v>21</v>
      </c>
      <c r="B17" s="7">
        <f>B9</f>
        <v>270000</v>
      </c>
      <c r="C17" s="7">
        <v>0.0</v>
      </c>
      <c r="D17" s="7">
        <f>B17</f>
        <v>270000</v>
      </c>
      <c r="E17" s="6" t="s">
        <v>22</v>
      </c>
      <c r="F17" s="8"/>
    </row>
    <row r="18" ht="18.75" customHeight="1">
      <c r="A18" s="1" t="s">
        <v>23</v>
      </c>
      <c r="B18" s="7">
        <f>B11</f>
        <v>25110</v>
      </c>
      <c r="C18" s="7">
        <f>B7</f>
        <v>36000</v>
      </c>
      <c r="D18" s="7">
        <f>B18+C18</f>
        <v>61110</v>
      </c>
      <c r="E18" s="7">
        <f>D17-D18</f>
        <v>208890</v>
      </c>
      <c r="F18" s="8"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37.63"/>
    <col customWidth="1" min="3" max="3" width="156.38"/>
  </cols>
  <sheetData>
    <row r="1">
      <c r="A1" s="1" t="s">
        <v>25</v>
      </c>
      <c r="B1" s="1" t="s">
        <v>26</v>
      </c>
      <c r="C1" s="1" t="s">
        <v>0</v>
      </c>
    </row>
    <row r="2">
      <c r="A2" s="1">
        <v>1.0</v>
      </c>
      <c r="B2" s="6" t="s">
        <v>27</v>
      </c>
      <c r="C2" s="4" t="s">
        <v>28</v>
      </c>
    </row>
    <row r="3">
      <c r="A3" s="1">
        <v>2.0</v>
      </c>
      <c r="B3" s="6" t="s">
        <v>29</v>
      </c>
      <c r="C3" s="4" t="s">
        <v>30</v>
      </c>
    </row>
    <row r="4">
      <c r="A4" s="1">
        <v>3.0</v>
      </c>
      <c r="B4" s="6" t="s">
        <v>3</v>
      </c>
      <c r="C4" s="4" t="s">
        <v>31</v>
      </c>
    </row>
    <row r="5">
      <c r="A5" s="1">
        <v>4.0</v>
      </c>
      <c r="B5" s="6" t="s">
        <v>32</v>
      </c>
      <c r="C5" s="4" t="s">
        <v>33</v>
      </c>
    </row>
    <row r="6">
      <c r="A6" s="1">
        <v>5.0</v>
      </c>
      <c r="B6" s="6" t="s">
        <v>9</v>
      </c>
      <c r="C6" s="4" t="s">
        <v>34</v>
      </c>
    </row>
    <row r="7">
      <c r="A7" s="1">
        <v>6.0</v>
      </c>
      <c r="B7" s="6" t="s">
        <v>35</v>
      </c>
      <c r="C7" s="4" t="s">
        <v>36</v>
      </c>
    </row>
    <row r="8">
      <c r="A8" s="1">
        <v>7.0</v>
      </c>
      <c r="B8" s="6" t="s">
        <v>37</v>
      </c>
      <c r="C8" s="4" t="s">
        <v>38</v>
      </c>
    </row>
    <row r="9">
      <c r="A9" s="1">
        <v>8.0</v>
      </c>
      <c r="B9" s="6" t="s">
        <v>39</v>
      </c>
      <c r="C9" s="4" t="s">
        <v>40</v>
      </c>
    </row>
    <row r="10">
      <c r="A10" s="1">
        <v>9.0</v>
      </c>
      <c r="B10" s="6" t="s">
        <v>11</v>
      </c>
      <c r="C10" s="4" t="s">
        <v>41</v>
      </c>
    </row>
  </sheetData>
  <drawing r:id="rId1"/>
</worksheet>
</file>